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ètres" sheetId="1" state="visible" r:id="rId3"/>
    <sheet name="Métré par pièce" sheetId="2" state="visible" r:id="rId4"/>
    <sheet name="Matériaux &amp; quantités" sheetId="3" state="visible" r:id="rId5"/>
    <sheet name="Récap budge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<sst xmlns="http://schemas.openxmlformats.org/spreadsheetml/2006/main" count="55" uniqueCount="51">
  <si>
    <t xml:space="preserve">MÉTRÉ — Paramètres modifiables (en bleu)</t>
  </si>
  <si>
    <t xml:space="preserve">Hauteur sous plafond (m)</t>
  </si>
  <si>
    <t xml:space="preserve">Nb de couches de peinture</t>
  </si>
  <si>
    <t xml:space="preserve">Rendement peinture (m²/L)</t>
  </si>
  <si>
    <t xml:space="preserve">Marge de perte peinture</t>
  </si>
  <si>
    <t xml:space="preserve">Marge de perte carrelage</t>
  </si>
  <si>
    <t xml:space="preserve">Marge de perte placo</t>
  </si>
  <si>
    <t xml:space="preserve">PRIX UNITAIRES (€)</t>
  </si>
  <si>
    <t xml:space="preserve">Prix peinture (€/L)</t>
  </si>
  <si>
    <t xml:space="preserve">Prix carrelage (€/m²)</t>
  </si>
  <si>
    <t xml:space="preserve">Prix placo (€/m²)</t>
  </si>
  <si>
    <t xml:space="preserve">Prix plinthe (€/ml)</t>
  </si>
  <si>
    <t xml:space="preserve">TVA</t>
  </si>
  <si>
    <t xml:space="preserve">MÉTRÉ PAR PIÈCE — surfaces, plinthes, murs</t>
  </si>
  <si>
    <t xml:space="preserve">Pièce</t>
  </si>
  <si>
    <t xml:space="preserve">Surface sol (m²)</t>
  </si>
  <si>
    <t xml:space="preserve">HSP (m)</t>
  </si>
  <si>
    <t xml:space="preserve">Périmètre estimé (ml)</t>
  </si>
  <si>
    <t xml:space="preserve">Surface murs brute (m²)</t>
  </si>
  <si>
    <t xml:space="preserve">Ouvertures (m²)</t>
  </si>
  <si>
    <t xml:space="preserve">Surface murs nette (m²)</t>
  </si>
  <si>
    <t xml:space="preserve">Cuisine</t>
  </si>
  <si>
    <t xml:space="preserve">Séjour</t>
  </si>
  <si>
    <t xml:space="preserve">Salle d'eau</t>
  </si>
  <si>
    <t xml:space="preserve">WC</t>
  </si>
  <si>
    <t xml:space="preserve">Chambre 1</t>
  </si>
  <si>
    <t xml:space="preserve">Chambre 2</t>
  </si>
  <si>
    <t xml:space="preserve">Chambre 3</t>
  </si>
  <si>
    <t xml:space="preserve">Couloir</t>
  </si>
  <si>
    <t xml:space="preserve">Galerie</t>
  </si>
  <si>
    <t xml:space="preserve">TOTAL</t>
  </si>
  <si>
    <t xml:space="preserve">MATÉRIAUX &amp; QUANTITÉS</t>
  </si>
  <si>
    <t xml:space="preserve">Matériau</t>
  </si>
  <si>
    <t xml:space="preserve">Quantité</t>
  </si>
  <si>
    <t xml:space="preserve">Unité</t>
  </si>
  <si>
    <t xml:space="preserve">Peinture murs</t>
  </si>
  <si>
    <t xml:space="preserve">L</t>
  </si>
  <si>
    <t xml:space="preserve">Carrelage sol</t>
  </si>
  <si>
    <t xml:space="preserve">m²</t>
  </si>
  <si>
    <t xml:space="preserve">Placo plafond</t>
  </si>
  <si>
    <t xml:space="preserve">Plinthes</t>
  </si>
  <si>
    <t xml:space="preserve">ml</t>
  </si>
  <si>
    <t xml:space="preserve">RÉCAP BUDGET (estimation)</t>
  </si>
  <si>
    <t xml:space="preserve">Poste</t>
  </si>
  <si>
    <t xml:space="preserve">Prix unitaire (€)</t>
  </si>
  <si>
    <t xml:space="preserve">Coût (€)</t>
  </si>
  <si>
    <t xml:space="preserve">Peinture</t>
  </si>
  <si>
    <t xml:space="preserve">Carrelage</t>
  </si>
  <si>
    <t xml:space="preserve">Placo</t>
  </si>
  <si>
    <t xml:space="preserve">TOTAL HT</t>
  </si>
  <si>
    <t xml:space="preserve">TOTAL TTC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</si>
</sst>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"/>
    <numFmt numFmtId="167" formatCode="0%"/>
    <numFmt numFmtId="168" formatCode="#,##0.00"/>
    <numFmt numFmtId="169" formatCode="#,##0"/>
    <numFmt numFmtId="170" formatCode="0.0"/>
    <numFmt numFmtId="171" formatCode="#,##0&quot; €&quot;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B1E6E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DE7"/>
        <bgColor rgb="FFFFFFFF"/>
      </patternFill>
    </fill>
    <fill>
      <patternFill patternType="solid">
        <fgColor rgb="FF7C3AED"/>
        <bgColor rgb="FF993366"/>
      </patternFill>
    </fill>
    <fill>
      <patternFill patternType="solid">
        <fgColor rgb="FF1F1430"/>
        <bgColor rgb="FF3B1E6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DE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C3AED"/>
      <rgbColor rgb="FF969696"/>
      <rgbColor rgb="FF003366"/>
      <rgbColor rgb="FF339966"/>
      <rgbColor rgb="FF003300"/>
      <rgbColor rgb="FF333300"/>
      <rgbColor rgb="FF993300"/>
      <rgbColor rgb="FF993366"/>
      <rgbColor rgb="FF3B1E6E"/>
      <rgbColor rgb="FF1F1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2.5</v>
      </c>
    </row>
    <row r="4" customFormat="false" ht="15" hidden="false" customHeight="false" outlineLevel="0" collapsed="false">
      <c r="A4" s="2" t="s">
        <v>2</v>
      </c>
      <c r="B4" s="4" t="n">
        <v>2</v>
      </c>
    </row>
    <row r="5" customFormat="false" ht="15" hidden="false" customHeight="false" outlineLevel="0" collapsed="false">
      <c r="A5" s="2" t="s">
        <v>3</v>
      </c>
      <c r="B5" s="4" t="n">
        <v>10</v>
      </c>
    </row>
    <row r="6" customFormat="false" ht="15" hidden="false" customHeight="false" outlineLevel="0" collapsed="false">
      <c r="A6" s="2" t="s">
        <v>4</v>
      </c>
      <c r="B6" s="5" t="n">
        <v>0.1</v>
      </c>
    </row>
    <row r="7" customFormat="false" ht="15" hidden="false" customHeight="false" outlineLevel="0" collapsed="false">
      <c r="A7" s="2" t="s">
        <v>5</v>
      </c>
      <c r="B7" s="5" t="n">
        <v>0.1</v>
      </c>
    </row>
    <row r="8" customFormat="false" ht="15" hidden="false" customHeight="false" outlineLevel="0" collapsed="false">
      <c r="A8" s="2" t="s">
        <v>6</v>
      </c>
      <c r="B8" s="5" t="n">
        <v>0.1</v>
      </c>
    </row>
    <row r="10" customFormat="false" ht="15" hidden="false" customHeight="false" outlineLevel="0" collapsed="false">
      <c r="A10" s="6" t="s">
        <v>7</v>
      </c>
    </row>
    <row r="11" customFormat="false" ht="15" hidden="false" customHeight="false" outlineLevel="0" collapsed="false">
      <c r="A11" s="2" t="s">
        <v>8</v>
      </c>
      <c r="B11" s="7" t="n">
        <v>4.5</v>
      </c>
    </row>
    <row r="12" customFormat="false" ht="15" hidden="false" customHeight="false" outlineLevel="0" collapsed="false">
      <c r="A12" s="2" t="s">
        <v>9</v>
      </c>
      <c r="B12" s="8" t="n">
        <v>25</v>
      </c>
    </row>
    <row r="13" customFormat="false" ht="15" hidden="false" customHeight="false" outlineLevel="0" collapsed="false">
      <c r="A13" s="2" t="s">
        <v>10</v>
      </c>
      <c r="B13" s="8" t="n">
        <v>12</v>
      </c>
    </row>
    <row r="14" customFormat="false" ht="15" hidden="false" customHeight="false" outlineLevel="0" collapsed="false">
      <c r="A14" s="2" t="s">
        <v>11</v>
      </c>
      <c r="B14" s="8" t="n">
        <v>6</v>
      </c>
    </row>
    <row r="15" customFormat="false" ht="15" hidden="false" customHeight="false" outlineLevel="0" collapsed="false">
      <c r="A15" s="2" t="s">
        <v>12</v>
      </c>
      <c r="B15" s="5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3" min="3" style="0" width="9"/>
    <col collapsed="false" customWidth="true" hidden="false" outlineLevel="0" max="5" min="4" style="0" width="18"/>
    <col collapsed="false" customWidth="true" hidden="false" outlineLevel="0" max="6" min="6" style="0" width="14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13</v>
      </c>
    </row>
    <row r="3" customFormat="false" ht="26.85" hidden="false" customHeight="false" outlineLevel="0" collapsed="false">
      <c r="A3" s="9" t="s">
        <v>14</v>
      </c>
      <c r="B3" s="9" t="s">
        <v>15</v>
      </c>
      <c r="C3" s="9" t="s">
        <v>16</v>
      </c>
      <c r="D3" s="9" t="s">
        <v>17</v>
      </c>
      <c r="E3" s="9" t="s">
        <v>18</v>
      </c>
      <c r="F3" s="9" t="s">
        <v>19</v>
      </c>
      <c r="G3" s="9" t="s">
        <v>20</v>
      </c>
    </row>
    <row r="4" customFormat="false" ht="15" hidden="false" customHeight="false" outlineLevel="0" collapsed="false">
      <c r="A4" s="10" t="s">
        <v>21</v>
      </c>
      <c r="B4" s="11" t="n">
        <v>13</v>
      </c>
      <c r="C4" s="12" t="n">
        <f aca="false">Paramètres!$B$3</f>
        <v>2.5</v>
      </c>
      <c r="D4" s="13" t="n">
        <f aca="false">ROUND(4*SQRT(B4),1)</f>
        <v>14.4</v>
      </c>
      <c r="E4" s="13" t="n">
        <f aca="false">ROUND(D4*C4,1)</f>
        <v>36</v>
      </c>
      <c r="F4" s="11" t="n">
        <v>3</v>
      </c>
      <c r="G4" s="13" t="n">
        <f aca="false">ROUND(E4-F4,1)</f>
        <v>33</v>
      </c>
    </row>
    <row r="5" customFormat="false" ht="15" hidden="false" customHeight="false" outlineLevel="0" collapsed="false">
      <c r="A5" s="10" t="s">
        <v>22</v>
      </c>
      <c r="B5" s="11" t="n">
        <v>19</v>
      </c>
      <c r="C5" s="12" t="n">
        <f aca="false">Paramètres!$B$3</f>
        <v>2.5</v>
      </c>
      <c r="D5" s="13" t="n">
        <f aca="false">ROUND(4*SQRT(B5),1)</f>
        <v>17.4</v>
      </c>
      <c r="E5" s="13" t="n">
        <f aca="false">ROUND(D5*C5,1)</f>
        <v>43.5</v>
      </c>
      <c r="F5" s="11" t="n">
        <v>5</v>
      </c>
      <c r="G5" s="13" t="n">
        <f aca="false">ROUND(E5-F5,1)</f>
        <v>38.5</v>
      </c>
    </row>
    <row r="6" customFormat="false" ht="15" hidden="false" customHeight="false" outlineLevel="0" collapsed="false">
      <c r="A6" s="10" t="s">
        <v>23</v>
      </c>
      <c r="B6" s="11" t="n">
        <v>8</v>
      </c>
      <c r="C6" s="12" t="n">
        <f aca="false">Paramètres!$B$3</f>
        <v>2.5</v>
      </c>
      <c r="D6" s="13" t="n">
        <f aca="false">ROUND(4*SQRT(B6),1)</f>
        <v>11.3</v>
      </c>
      <c r="E6" s="13" t="n">
        <f aca="false">ROUND(D6*C6,1)</f>
        <v>28.3</v>
      </c>
      <c r="F6" s="11" t="n">
        <v>1.6</v>
      </c>
      <c r="G6" s="13" t="n">
        <f aca="false">ROUND(E6-F6,1)</f>
        <v>26.7</v>
      </c>
    </row>
    <row r="7" customFormat="false" ht="15" hidden="false" customHeight="false" outlineLevel="0" collapsed="false">
      <c r="A7" s="10" t="s">
        <v>24</v>
      </c>
      <c r="B7" s="11" t="n">
        <v>2</v>
      </c>
      <c r="C7" s="12" t="n">
        <f aca="false">Paramètres!$B$3</f>
        <v>2.5</v>
      </c>
      <c r="D7" s="13" t="n">
        <f aca="false">ROUND(4*SQRT(B7),1)</f>
        <v>5.7</v>
      </c>
      <c r="E7" s="13" t="n">
        <f aca="false">ROUND(D7*C7,1)</f>
        <v>14.3</v>
      </c>
      <c r="F7" s="11" t="n">
        <v>1.6</v>
      </c>
      <c r="G7" s="13" t="n">
        <f aca="false">ROUND(E7-F7,1)</f>
        <v>12.7</v>
      </c>
    </row>
    <row r="8" customFormat="false" ht="15" hidden="false" customHeight="false" outlineLevel="0" collapsed="false">
      <c r="A8" s="10" t="s">
        <v>25</v>
      </c>
      <c r="B8" s="11" t="n">
        <v>12</v>
      </c>
      <c r="C8" s="12" t="n">
        <f aca="false">Paramètres!$B$3</f>
        <v>2.5</v>
      </c>
      <c r="D8" s="13" t="n">
        <f aca="false">ROUND(4*SQRT(B8),1)</f>
        <v>13.9</v>
      </c>
      <c r="E8" s="13" t="n">
        <f aca="false">ROUND(D8*C8,1)</f>
        <v>34.8</v>
      </c>
      <c r="F8" s="11" t="n">
        <v>3.1</v>
      </c>
      <c r="G8" s="13" t="n">
        <f aca="false">ROUND(E8-F8,1)</f>
        <v>31.7</v>
      </c>
    </row>
    <row r="9" customFormat="false" ht="15" hidden="false" customHeight="false" outlineLevel="0" collapsed="false">
      <c r="A9" s="10" t="s">
        <v>26</v>
      </c>
      <c r="B9" s="11" t="n">
        <v>10</v>
      </c>
      <c r="C9" s="12" t="n">
        <f aca="false">Paramètres!$B$3</f>
        <v>2.5</v>
      </c>
      <c r="D9" s="13" t="n">
        <f aca="false">ROUND(4*SQRT(B9),1)</f>
        <v>12.6</v>
      </c>
      <c r="E9" s="13" t="n">
        <f aca="false">ROUND(D9*C9,1)</f>
        <v>31.5</v>
      </c>
      <c r="F9" s="11" t="n">
        <v>3.1</v>
      </c>
      <c r="G9" s="13" t="n">
        <f aca="false">ROUND(E9-F9,1)</f>
        <v>28.4</v>
      </c>
    </row>
    <row r="10" customFormat="false" ht="15" hidden="false" customHeight="false" outlineLevel="0" collapsed="false">
      <c r="A10" s="10" t="s">
        <v>27</v>
      </c>
      <c r="B10" s="11" t="n">
        <v>9</v>
      </c>
      <c r="C10" s="12" t="n">
        <f aca="false">Paramètres!$B$3</f>
        <v>2.5</v>
      </c>
      <c r="D10" s="13" t="n">
        <f aca="false">ROUND(4*SQRT(B10),1)</f>
        <v>12</v>
      </c>
      <c r="E10" s="13" t="n">
        <f aca="false">ROUND(D10*C10,1)</f>
        <v>30</v>
      </c>
      <c r="F10" s="11" t="n">
        <v>3.1</v>
      </c>
      <c r="G10" s="13" t="n">
        <f aca="false">ROUND(E10-F10,1)</f>
        <v>26.9</v>
      </c>
    </row>
    <row r="11" customFormat="false" ht="15" hidden="false" customHeight="false" outlineLevel="0" collapsed="false">
      <c r="A11" s="10" t="s">
        <v>28</v>
      </c>
      <c r="B11" s="11" t="n">
        <v>7</v>
      </c>
      <c r="C11" s="12" t="n">
        <f aca="false">Paramètres!$B$3</f>
        <v>2.5</v>
      </c>
      <c r="D11" s="13" t="n">
        <f aca="false">ROUND(4*SQRT(B11),1)</f>
        <v>10.6</v>
      </c>
      <c r="E11" s="13" t="n">
        <f aca="false">ROUND(D11*C11,1)</f>
        <v>26.5</v>
      </c>
      <c r="F11" s="11" t="n">
        <v>3.2</v>
      </c>
      <c r="G11" s="13" t="n">
        <f aca="false">ROUND(E11-F11,1)</f>
        <v>23.3</v>
      </c>
    </row>
    <row r="12" customFormat="false" ht="15" hidden="false" customHeight="false" outlineLevel="0" collapsed="false">
      <c r="A12" s="10" t="s">
        <v>29</v>
      </c>
      <c r="B12" s="11" t="n">
        <v>5</v>
      </c>
      <c r="C12" s="12" t="n">
        <f aca="false">Paramètres!$B$3</f>
        <v>2.5</v>
      </c>
      <c r="D12" s="13" t="n">
        <f aca="false">ROUND(4*SQRT(B12),1)</f>
        <v>8.9</v>
      </c>
      <c r="E12" s="13" t="n">
        <f aca="false">ROUND(D12*C12,1)</f>
        <v>22.3</v>
      </c>
      <c r="F12" s="11" t="n">
        <v>1.6</v>
      </c>
      <c r="G12" s="13" t="n">
        <f aca="false">ROUND(E12-F12,1)</f>
        <v>20.7</v>
      </c>
    </row>
    <row r="13" customFormat="false" ht="15" hidden="false" customHeight="false" outlineLevel="0" collapsed="false">
      <c r="A13" s="14" t="s">
        <v>30</v>
      </c>
      <c r="B13" s="15" t="n">
        <f aca="false">SUM(B4:B12)</f>
        <v>85</v>
      </c>
      <c r="C13" s="14"/>
      <c r="D13" s="15" t="n">
        <f aca="false">SUM(D4:D12)</f>
        <v>106.8</v>
      </c>
      <c r="E13" s="15" t="n">
        <f aca="false">SUM(E4:E12)</f>
        <v>267.2</v>
      </c>
      <c r="F13" s="15" t="n">
        <f aca="false">SUM(F4:F12)</f>
        <v>25.3</v>
      </c>
      <c r="G13" s="15" t="n">
        <f aca="false">SUM(G4:G12)</f>
        <v>241.9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0"/>
  </cols>
  <sheetData>
    <row r="1" customFormat="false" ht="17.35" hidden="false" customHeight="false" outlineLevel="0" collapsed="false">
      <c r="A1" s="1" t="s">
        <v>31</v>
      </c>
    </row>
    <row r="3" customFormat="false" ht="15" hidden="false" customHeight="false" outlineLevel="0" collapsed="false">
      <c r="A3" s="9" t="s">
        <v>32</v>
      </c>
      <c r="B3" s="9" t="s">
        <v>33</v>
      </c>
      <c r="C3" s="9" t="s">
        <v>34</v>
      </c>
    </row>
    <row r="4" customFormat="false" ht="15" hidden="false" customHeight="false" outlineLevel="0" collapsed="false">
      <c r="A4" s="10" t="s">
        <v>35</v>
      </c>
      <c r="B4" s="13" t="n">
        <f aca="false">ROUND('Métré par pièce'!$G$13*Paramètres!$B$4/Paramètres!$B$5*(1+Paramètres!$B$6),1)</f>
        <v>53.2</v>
      </c>
      <c r="C4" s="10" t="s">
        <v>36</v>
      </c>
    </row>
    <row r="5" customFormat="false" ht="15" hidden="false" customHeight="false" outlineLevel="0" collapsed="false">
      <c r="A5" s="10" t="s">
        <v>37</v>
      </c>
      <c r="B5" s="13" t="n">
        <f aca="false">ROUND('Métré par pièce'!$B$13*(1+Paramètres!$B$7),1)</f>
        <v>93.5</v>
      </c>
      <c r="C5" s="10" t="s">
        <v>38</v>
      </c>
    </row>
    <row r="6" customFormat="false" ht="15" hidden="false" customHeight="false" outlineLevel="0" collapsed="false">
      <c r="A6" s="10" t="s">
        <v>39</v>
      </c>
      <c r="B6" s="13" t="n">
        <f aca="false">ROUND('Métré par pièce'!$B$13*(1+Paramètres!$B$8),1)</f>
        <v>93.5</v>
      </c>
      <c r="C6" s="10" t="s">
        <v>38</v>
      </c>
    </row>
    <row r="7" customFormat="false" ht="15" hidden="false" customHeight="false" outlineLevel="0" collapsed="false">
      <c r="A7" s="10" t="s">
        <v>40</v>
      </c>
      <c r="B7" s="13" t="n">
        <f aca="false">ROUND('Métré par pièce'!$D$13*0.9,1)</f>
        <v>96.1</v>
      </c>
      <c r="C7" s="10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42</v>
      </c>
    </row>
    <row r="3" customFormat="false" ht="15" hidden="false" customHeight="false" outlineLevel="0" collapsed="false">
      <c r="A3" s="9" t="s">
        <v>43</v>
      </c>
      <c r="B3" s="9" t="s">
        <v>33</v>
      </c>
      <c r="C3" s="9" t="s">
        <v>44</v>
      </c>
      <c r="D3" s="9" t="s">
        <v>45</v>
      </c>
    </row>
    <row r="4" customFormat="false" ht="15" hidden="false" customHeight="false" outlineLevel="0" collapsed="false">
      <c r="A4" s="10" t="s">
        <v>46</v>
      </c>
      <c r="B4" s="13" t="n">
        <f aca="false">'Matériaux &amp; quantités'!B4</f>
        <v>53.2</v>
      </c>
      <c r="C4" s="16" t="n">
        <f aca="false">Paramètres!$B$11</f>
        <v>4.5</v>
      </c>
      <c r="D4" s="17" t="n">
        <f aca="false">ROUND(B4*C4,0)</f>
        <v>239</v>
      </c>
    </row>
    <row r="5" customFormat="false" ht="15" hidden="false" customHeight="false" outlineLevel="0" collapsed="false">
      <c r="A5" s="10" t="s">
        <v>47</v>
      </c>
      <c r="B5" s="13" t="n">
        <f aca="false">'Matériaux &amp; quantités'!B5</f>
        <v>93.5</v>
      </c>
      <c r="C5" s="16" t="n">
        <f aca="false">Paramètres!$B$12</f>
        <v>25</v>
      </c>
      <c r="D5" s="17" t="n">
        <f aca="false">ROUND(B5*C5,0)</f>
        <v>2338</v>
      </c>
    </row>
    <row r="6" customFormat="false" ht="15" hidden="false" customHeight="false" outlineLevel="0" collapsed="false">
      <c r="A6" s="10" t="s">
        <v>48</v>
      </c>
      <c r="B6" s="13" t="n">
        <f aca="false">'Matériaux &amp; quantités'!B6</f>
        <v>93.5</v>
      </c>
      <c r="C6" s="16" t="n">
        <f aca="false">Paramètres!$B$13</f>
        <v>12</v>
      </c>
      <c r="D6" s="17" t="n">
        <f aca="false">ROUND(B6*C6,0)</f>
        <v>1122</v>
      </c>
    </row>
    <row r="7" customFormat="false" ht="15" hidden="false" customHeight="false" outlineLevel="0" collapsed="false">
      <c r="A7" s="10" t="s">
        <v>40</v>
      </c>
      <c r="B7" s="13" t="n">
        <f aca="false">'Matériaux &amp; quantités'!B7</f>
        <v>96.1</v>
      </c>
      <c r="C7" s="16" t="n">
        <f aca="false">Paramètres!$B$14</f>
        <v>6</v>
      </c>
      <c r="D7" s="17" t="n">
        <f aca="false">ROUND(B7*C7,0)</f>
        <v>577</v>
      </c>
    </row>
    <row r="8" customFormat="false" ht="15" hidden="false" customHeight="false" outlineLevel="0" collapsed="false">
      <c r="A8" s="6" t="s">
        <v>49</v>
      </c>
      <c r="D8" s="18" t="n">
        <f aca="false">SUM(D4:D7)</f>
        <v>4276</v>
      </c>
    </row>
    <row r="9" customFormat="false" ht="15" hidden="false" customHeight="false" outlineLevel="0" collapsed="false">
      <c r="A9" s="2" t="s">
        <v>12</v>
      </c>
      <c r="D9" s="19" t="n">
        <f aca="false">ROUND(D8*Paramètres!$B$15,0)</f>
        <v>855</v>
      </c>
    </row>
    <row r="10" customFormat="false" ht="15" hidden="false" customHeight="false" outlineLevel="0" collapsed="false">
      <c r="A10" s="20" t="s">
        <v>50</v>
      </c>
      <c r="B10" s="20"/>
      <c r="C10" s="20"/>
      <c r="D10" s="21" t="n">
        <f aca="false">D8+D9</f>
        <v>5131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2026-06-25T10:05:18Z</dcterms:created>
  <dc:creator>openpyxl</dc:creator>
  <dc:description/>
  <dc:language>en-US</dc:language>
  <cp:lastModifiedBy/>
  <dcterms:modified xsi:type="dcterms:W3CDTF">2026-06-25T10:05:18Z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